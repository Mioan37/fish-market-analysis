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Data sheet" sheetId="1" r:id="rId1"/>
    <sheet name="Dashboard" sheetId="2" r:id="rId2"/>
  </sheets>
  <calcPr calcId="152511"/>
</workbook>
</file>

<file path=xl/calcChain.xml><?xml version="1.0" encoding="utf-8"?>
<calcChain xmlns="http://schemas.openxmlformats.org/spreadsheetml/2006/main">
  <c r="F18" i="1" l="1"/>
  <c r="F17" i="1"/>
  <c r="F16" i="1"/>
  <c r="F15" i="1"/>
  <c r="C6" i="1" l="1"/>
  <c r="F3" i="1"/>
  <c r="F4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  <c r="F2" i="1"/>
  <c r="E2" i="1"/>
  <c r="C3" i="1"/>
  <c r="C4" i="1"/>
  <c r="C5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<sst xmlns="http://schemas.openxmlformats.org/spreadsheetml/2006/main" count="21" uniqueCount="21">
  <si>
    <t>Product</t>
  </si>
  <si>
    <t>ΤΣΙΠΟΥΡΑ</t>
  </si>
  <si>
    <t>ΛΑΒΡΑΚΙ</t>
  </si>
  <si>
    <t>ΚΑΛΑΜΑΡΙ</t>
  </si>
  <si>
    <t>ΧΤΑΠΟΔΙ</t>
  </si>
  <si>
    <t>ΚΟΥΤΣΟΜΟΥΡΑ</t>
  </si>
  <si>
    <t>ΣΑΡΔΕΛΑ</t>
  </si>
  <si>
    <t>ΓΑΥΡΟΣ</t>
  </si>
  <si>
    <t>ΓΑΡΙΔΑ</t>
  </si>
  <si>
    <t>ΦΑΓΓΡΙ</t>
  </si>
  <si>
    <t>ΣΥΝΑΓΡΙΔΑ</t>
  </si>
  <si>
    <t>2018 Sales kg</t>
  </si>
  <si>
    <t>2019 Forecast kg</t>
  </si>
  <si>
    <t>Price €</t>
  </si>
  <si>
    <t>Revenue 2018</t>
  </si>
  <si>
    <t>Revenue 2019</t>
  </si>
  <si>
    <t>Fish Market Sales Dashboard (2018–2019)</t>
  </si>
  <si>
    <t>KPI 1</t>
  </si>
  <si>
    <t>KPI 2</t>
  </si>
  <si>
    <t>KPI 3</t>
  </si>
  <si>
    <t>KPI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</si>
</sst>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Sales Comparison 2018 vs 2019</a:t>
            </a:r>
            <a:endParaRPr lang="en-US" b="1"/>
          </a:p>
        </c:rich>
      </c:tx>
      <c:layout>
        <c:manualLayout>
          <c:xMode val="edge"/>
          <c:yMode val="edge"/>
          <c:x val="0.240048556430446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sheet'!$B$1</c:f>
              <c:strCache>
                <c:ptCount val="1"/>
                <c:pt idx="0">
                  <c:v>2018 Sales 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sheet'!$A$2:$A$11</c:f>
              <c:strCache>
                <c:ptCount val="10"/>
                <c:pt idx="0">
                  <c:v>ΤΣΙΠΟΥΡΑ</c:v>
                </c:pt>
                <c:pt idx="1">
                  <c:v>ΛΑΒΡΑΚΙ</c:v>
                </c:pt>
                <c:pt idx="2">
                  <c:v>ΚΑΛΑΜΑΡΙ</c:v>
                </c:pt>
                <c:pt idx="3">
                  <c:v>ΧΤΑΠΟΔΙ</c:v>
                </c:pt>
                <c:pt idx="4">
                  <c:v>ΚΟΥΤΣΟΜΟΥΡΑ</c:v>
                </c:pt>
                <c:pt idx="5">
                  <c:v>ΣΑΡΔΕΛΑ</c:v>
                </c:pt>
                <c:pt idx="6">
                  <c:v>ΓΑΥΡΟΣ</c:v>
                </c:pt>
                <c:pt idx="7">
                  <c:v>ΓΑΡΙΔΑ</c:v>
                </c:pt>
                <c:pt idx="8">
                  <c:v>ΦΑΓΓΡΙ</c:v>
                </c:pt>
                <c:pt idx="9">
                  <c:v>ΣΥΝΑΓΡΙΔΑ</c:v>
                </c:pt>
              </c:strCache>
            </c:strRef>
          </c:cat>
          <c:val>
            <c:numRef>
              <c:f>'Data sheet'!$B$2:$B$11</c:f>
              <c:numCache>
                <c:formatCode>General</c:formatCode>
                <c:ptCount val="10"/>
                <c:pt idx="0">
                  <c:v>800</c:v>
                </c:pt>
                <c:pt idx="1">
                  <c:v>750</c:v>
                </c:pt>
                <c:pt idx="2">
                  <c:v>600</c:v>
                </c:pt>
                <c:pt idx="3">
                  <c:v>650</c:v>
                </c:pt>
                <c:pt idx="4">
                  <c:v>500</c:v>
                </c:pt>
                <c:pt idx="5">
                  <c:v>900</c:v>
                </c:pt>
                <c:pt idx="6">
                  <c:v>850</c:v>
                </c:pt>
                <c:pt idx="7">
                  <c:v>700</c:v>
                </c:pt>
                <c:pt idx="8">
                  <c:v>550</c:v>
                </c:pt>
                <c:pt idx="9">
                  <c:v>520</c:v>
                </c:pt>
              </c:numCache>
            </c:numRef>
          </c:val>
        </c:ser>
        <c:ser>
          <c:idx val="1"/>
          <c:order val="1"/>
          <c:tx>
            <c:strRef>
              <c:f>'Data sheet'!$C$1</c:f>
              <c:strCache>
                <c:ptCount val="1"/>
                <c:pt idx="0">
                  <c:v>2019 Forecast kg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sheet'!$A$2:$A$11</c:f>
              <c:strCache>
                <c:ptCount val="10"/>
                <c:pt idx="0">
                  <c:v>ΤΣΙΠΟΥΡΑ</c:v>
                </c:pt>
                <c:pt idx="1">
                  <c:v>ΛΑΒΡΑΚΙ</c:v>
                </c:pt>
                <c:pt idx="2">
                  <c:v>ΚΑΛΑΜΑΡΙ</c:v>
                </c:pt>
                <c:pt idx="3">
                  <c:v>ΧΤΑΠΟΔΙ</c:v>
                </c:pt>
                <c:pt idx="4">
                  <c:v>ΚΟΥΤΣΟΜΟΥΡΑ</c:v>
                </c:pt>
                <c:pt idx="5">
                  <c:v>ΣΑΡΔΕΛΑ</c:v>
                </c:pt>
                <c:pt idx="6">
                  <c:v>ΓΑΥΡΟΣ</c:v>
                </c:pt>
                <c:pt idx="7">
                  <c:v>ΓΑΡΙΔΑ</c:v>
                </c:pt>
                <c:pt idx="8">
                  <c:v>ΦΑΓΓΡΙ</c:v>
                </c:pt>
                <c:pt idx="9">
                  <c:v>ΣΥΝΑΓΡΙΔΑ</c:v>
                </c:pt>
              </c:strCache>
            </c:strRef>
          </c:cat>
          <c:val>
            <c:numRef>
              <c:f>'Data sheet'!$C$2:$C$11</c:f>
              <c:numCache>
                <c:formatCode>General</c:formatCode>
                <c:ptCount val="10"/>
                <c:pt idx="0">
                  <c:v>960</c:v>
                </c:pt>
                <c:pt idx="1">
                  <c:v>900</c:v>
                </c:pt>
                <c:pt idx="2">
                  <c:v>720</c:v>
                </c:pt>
                <c:pt idx="3">
                  <c:v>780</c:v>
                </c:pt>
                <c:pt idx="4">
                  <c:v>600</c:v>
                </c:pt>
                <c:pt idx="5">
                  <c:v>1080</c:v>
                </c:pt>
                <c:pt idx="6">
                  <c:v>1020</c:v>
                </c:pt>
                <c:pt idx="7">
                  <c:v>840</c:v>
                </c:pt>
                <c:pt idx="8">
                  <c:v>660</c:v>
                </c:pt>
                <c:pt idx="9">
                  <c:v>624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74785056"/>
        <c:axId val="-1274784512"/>
      </c:barChart>
      <c:catAx>
        <c:axId val="-127478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274784512"/>
        <c:crosses val="autoZero"/>
        <c:auto val="1"/>
        <c:lblAlgn val="ctr"/>
        <c:lblOffset val="100"/>
        <c:noMultiLvlLbl val="0"/>
      </c:catAx>
      <c:valAx>
        <c:axId val="-127478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27478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Sales Comparison 2018 vs 2019</a:t>
            </a:r>
            <a:endParaRPr lang="en-US" b="1"/>
          </a:p>
        </c:rich>
      </c:tx>
      <c:layout>
        <c:manualLayout>
          <c:xMode val="edge"/>
          <c:yMode val="edge"/>
          <c:x val="0.240048556430446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sheet'!$B$1</c:f>
              <c:strCache>
                <c:ptCount val="1"/>
                <c:pt idx="0">
                  <c:v>2018 Sales 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sheet'!$A$2:$A$11</c:f>
              <c:strCache>
                <c:ptCount val="10"/>
                <c:pt idx="0">
                  <c:v>ΤΣΙΠΟΥΡΑ</c:v>
                </c:pt>
                <c:pt idx="1">
                  <c:v>ΛΑΒΡΑΚΙ</c:v>
                </c:pt>
                <c:pt idx="2">
                  <c:v>ΚΑΛΑΜΑΡΙ</c:v>
                </c:pt>
                <c:pt idx="3">
                  <c:v>ΧΤΑΠΟΔΙ</c:v>
                </c:pt>
                <c:pt idx="4">
                  <c:v>ΚΟΥΤΣΟΜΟΥΡΑ</c:v>
                </c:pt>
                <c:pt idx="5">
                  <c:v>ΣΑΡΔΕΛΑ</c:v>
                </c:pt>
                <c:pt idx="6">
                  <c:v>ΓΑΥΡΟΣ</c:v>
                </c:pt>
                <c:pt idx="7">
                  <c:v>ΓΑΡΙΔΑ</c:v>
                </c:pt>
                <c:pt idx="8">
                  <c:v>ΦΑΓΓΡΙ</c:v>
                </c:pt>
                <c:pt idx="9">
                  <c:v>ΣΥΝΑΓΡΙΔΑ</c:v>
                </c:pt>
              </c:strCache>
            </c:strRef>
          </c:cat>
          <c:val>
            <c:numRef>
              <c:f>'Data sheet'!$B$2:$B$11</c:f>
              <c:numCache>
                <c:formatCode>General</c:formatCode>
                <c:ptCount val="10"/>
                <c:pt idx="0">
                  <c:v>800</c:v>
                </c:pt>
                <c:pt idx="1">
                  <c:v>750</c:v>
                </c:pt>
                <c:pt idx="2">
                  <c:v>600</c:v>
                </c:pt>
                <c:pt idx="3">
                  <c:v>650</c:v>
                </c:pt>
                <c:pt idx="4">
                  <c:v>500</c:v>
                </c:pt>
                <c:pt idx="5">
                  <c:v>900</c:v>
                </c:pt>
                <c:pt idx="6">
                  <c:v>850</c:v>
                </c:pt>
                <c:pt idx="7">
                  <c:v>700</c:v>
                </c:pt>
                <c:pt idx="8">
                  <c:v>550</c:v>
                </c:pt>
                <c:pt idx="9">
                  <c:v>520</c:v>
                </c:pt>
              </c:numCache>
            </c:numRef>
          </c:val>
        </c:ser>
        <c:ser>
          <c:idx val="1"/>
          <c:order val="1"/>
          <c:tx>
            <c:strRef>
              <c:f>'Data sheet'!$C$1</c:f>
              <c:strCache>
                <c:ptCount val="1"/>
                <c:pt idx="0">
                  <c:v>2019 Forecast kg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sheet'!$A$2:$A$11</c:f>
              <c:strCache>
                <c:ptCount val="10"/>
                <c:pt idx="0">
                  <c:v>ΤΣΙΠΟΥΡΑ</c:v>
                </c:pt>
                <c:pt idx="1">
                  <c:v>ΛΑΒΡΑΚΙ</c:v>
                </c:pt>
                <c:pt idx="2">
                  <c:v>ΚΑΛΑΜΑΡΙ</c:v>
                </c:pt>
                <c:pt idx="3">
                  <c:v>ΧΤΑΠΟΔΙ</c:v>
                </c:pt>
                <c:pt idx="4">
                  <c:v>ΚΟΥΤΣΟΜΟΥΡΑ</c:v>
                </c:pt>
                <c:pt idx="5">
                  <c:v>ΣΑΡΔΕΛΑ</c:v>
                </c:pt>
                <c:pt idx="6">
                  <c:v>ΓΑΥΡΟΣ</c:v>
                </c:pt>
                <c:pt idx="7">
                  <c:v>ΓΑΡΙΔΑ</c:v>
                </c:pt>
                <c:pt idx="8">
                  <c:v>ΦΑΓΓΡΙ</c:v>
                </c:pt>
                <c:pt idx="9">
                  <c:v>ΣΥΝΑΓΡΙΔΑ</c:v>
                </c:pt>
              </c:strCache>
            </c:strRef>
          </c:cat>
          <c:val>
            <c:numRef>
              <c:f>'Data sheet'!$C$2:$C$11</c:f>
              <c:numCache>
                <c:formatCode>General</c:formatCode>
                <c:ptCount val="10"/>
                <c:pt idx="0">
                  <c:v>960</c:v>
                </c:pt>
                <c:pt idx="1">
                  <c:v>900</c:v>
                </c:pt>
                <c:pt idx="2">
                  <c:v>720</c:v>
                </c:pt>
                <c:pt idx="3">
                  <c:v>780</c:v>
                </c:pt>
                <c:pt idx="4">
                  <c:v>600</c:v>
                </c:pt>
                <c:pt idx="5">
                  <c:v>1080</c:v>
                </c:pt>
                <c:pt idx="6">
                  <c:v>1020</c:v>
                </c:pt>
                <c:pt idx="7">
                  <c:v>840</c:v>
                </c:pt>
                <c:pt idx="8">
                  <c:v>660</c:v>
                </c:pt>
                <c:pt idx="9">
                  <c:v>624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74783424"/>
        <c:axId val="-1274783968"/>
      </c:barChart>
      <c:catAx>
        <c:axId val="-12747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274783968"/>
        <c:crosses val="autoZero"/>
        <c:auto val="1"/>
        <c:lblAlgn val="ctr"/>
        <c:lblOffset val="100"/>
        <c:noMultiLvlLbl val="0"/>
      </c:catAx>
      <c:valAx>
        <c:axId val="-127478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27478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4762</xdr:rowOff>
    </xdr:from>
    <xdr:to>
      <xdr:col>14</xdr:col>
      <xdr:colOff>304800</xdr:colOff>
      <xdr:row>14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</xdr:rowOff>
    </xdr:from>
    <xdr:to>
      <xdr:col>10</xdr:col>
      <xdr:colOff>590550</xdr:colOff>
      <xdr:row>22</xdr:row>
      <xdr:rowOff>76201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E12" sqref="E12:F12"/>
    </sheetView>
  </sheetViews>
  <sheetFormatPr defaultRowHeight="15" x14ac:dyDescent="0.25"/>
  <cols>
    <col min="1" max="1" width="14.7109375" bestFit="1" customWidth="1"/>
    <col min="2" max="2" width="12.42578125" bestFit="1" customWidth="1"/>
    <col min="3" max="3" width="15.42578125" bestFit="1" customWidth="1"/>
    <col min="5" max="5" width="17.140625" bestFit="1" customWidth="1"/>
    <col min="6" max="6" width="13.42578125" bestFit="1" customWidth="1"/>
  </cols>
  <sheetData>
    <row r="1" spans="1:6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 t="s">
        <v>1</v>
      </c>
      <c r="B2">
        <v>800</v>
      </c>
      <c r="C2">
        <f>B2*1.2</f>
        <v>960</v>
      </c>
      <c r="D2">
        <v>10</v>
      </c>
      <c r="E2">
        <f>B2*D2</f>
        <v>8000</v>
      </c>
      <c r="F2">
        <f>C2*D2</f>
        <v>9600</v>
      </c>
    </row>
    <row r="3" spans="1:6" x14ac:dyDescent="0.25">
      <c r="A3" t="s">
        <v>2</v>
      </c>
      <c r="B3">
        <v>750</v>
      </c>
      <c r="C3">
        <f t="shared" ref="C3:C11" si="0">B3*1.2</f>
        <v>900</v>
      </c>
      <c r="D3">
        <v>12</v>
      </c>
      <c r="E3">
        <f t="shared" ref="E3:E11" si="1">B3*D3</f>
        <v>9000</v>
      </c>
      <c r="F3">
        <f t="shared" ref="F3:F11" si="2">C3*D3</f>
        <v>10800</v>
      </c>
    </row>
    <row r="4" spans="1:6" x14ac:dyDescent="0.25">
      <c r="A4" t="s">
        <v>3</v>
      </c>
      <c r="B4">
        <v>600</v>
      </c>
      <c r="C4">
        <f t="shared" si="0"/>
        <v>720</v>
      </c>
      <c r="D4">
        <v>15</v>
      </c>
      <c r="E4">
        <f t="shared" si="1"/>
        <v>9000</v>
      </c>
      <c r="F4">
        <f t="shared" si="2"/>
        <v>10800</v>
      </c>
    </row>
    <row r="5" spans="1:6" x14ac:dyDescent="0.25">
      <c r="A5" t="s">
        <v>4</v>
      </c>
      <c r="B5">
        <v>650</v>
      </c>
      <c r="C5">
        <f t="shared" si="0"/>
        <v>780</v>
      </c>
      <c r="D5">
        <v>14</v>
      </c>
      <c r="E5">
        <f t="shared" si="1"/>
        <v>9100</v>
      </c>
      <c r="F5">
        <f t="shared" si="2"/>
        <v>10920</v>
      </c>
    </row>
    <row r="6" spans="1:6" x14ac:dyDescent="0.25">
      <c r="A6" t="s">
        <v>5</v>
      </c>
      <c r="B6">
        <v>500</v>
      </c>
      <c r="C6">
        <f t="shared" si="0"/>
        <v>600</v>
      </c>
      <c r="D6">
        <v>15</v>
      </c>
      <c r="E6">
        <f t="shared" si="1"/>
        <v>7500</v>
      </c>
      <c r="F6">
        <f t="shared" si="2"/>
        <v>9000</v>
      </c>
    </row>
    <row r="7" spans="1:6" x14ac:dyDescent="0.25">
      <c r="A7" t="s">
        <v>6</v>
      </c>
      <c r="B7">
        <v>900</v>
      </c>
      <c r="C7">
        <f t="shared" si="0"/>
        <v>1080</v>
      </c>
      <c r="D7">
        <v>7</v>
      </c>
      <c r="E7">
        <f t="shared" si="1"/>
        <v>6300</v>
      </c>
      <c r="F7">
        <f t="shared" si="2"/>
        <v>7560</v>
      </c>
    </row>
    <row r="8" spans="1:6" x14ac:dyDescent="0.25">
      <c r="A8" t="s">
        <v>7</v>
      </c>
      <c r="B8">
        <v>850</v>
      </c>
      <c r="C8">
        <f t="shared" si="0"/>
        <v>1020</v>
      </c>
      <c r="D8">
        <v>7</v>
      </c>
      <c r="E8">
        <f t="shared" si="1"/>
        <v>5950</v>
      </c>
      <c r="F8">
        <f t="shared" si="2"/>
        <v>7140</v>
      </c>
    </row>
    <row r="9" spans="1:6" x14ac:dyDescent="0.25">
      <c r="A9" t="s">
        <v>8</v>
      </c>
      <c r="B9">
        <v>700</v>
      </c>
      <c r="C9">
        <f t="shared" si="0"/>
        <v>840</v>
      </c>
      <c r="D9">
        <v>10</v>
      </c>
      <c r="E9">
        <f t="shared" si="1"/>
        <v>7000</v>
      </c>
      <c r="F9">
        <f t="shared" si="2"/>
        <v>8400</v>
      </c>
    </row>
    <row r="10" spans="1:6" x14ac:dyDescent="0.25">
      <c r="A10" t="s">
        <v>9</v>
      </c>
      <c r="B10">
        <v>550</v>
      </c>
      <c r="C10">
        <f t="shared" si="0"/>
        <v>660</v>
      </c>
      <c r="D10">
        <v>25</v>
      </c>
      <c r="E10">
        <f t="shared" si="1"/>
        <v>13750</v>
      </c>
      <c r="F10">
        <f t="shared" si="2"/>
        <v>16500</v>
      </c>
    </row>
    <row r="11" spans="1:6" x14ac:dyDescent="0.25">
      <c r="A11" t="s">
        <v>10</v>
      </c>
      <c r="B11">
        <v>520</v>
      </c>
      <c r="C11">
        <f t="shared" si="0"/>
        <v>624</v>
      </c>
      <c r="D11">
        <v>25</v>
      </c>
      <c r="E11">
        <f t="shared" si="1"/>
        <v>13000</v>
      </c>
      <c r="F11">
        <f t="shared" si="2"/>
        <v>15600</v>
      </c>
    </row>
    <row r="15" spans="1:6" ht="21" x14ac:dyDescent="0.35">
      <c r="E15" s="2" t="s">
        <v>17</v>
      </c>
      <c r="F15" s="2">
        <f>SUM(B2:B11)</f>
        <v>6820</v>
      </c>
    </row>
    <row r="16" spans="1:6" ht="21" x14ac:dyDescent="0.35">
      <c r="E16" s="2" t="s">
        <v>18</v>
      </c>
      <c r="F16" s="2">
        <f>SUM(C2:C11)</f>
        <v>8184</v>
      </c>
    </row>
    <row r="17" spans="5:6" ht="21" x14ac:dyDescent="0.35">
      <c r="E17" s="2" t="s">
        <v>19</v>
      </c>
      <c r="F17" s="2">
        <f xml:space="preserve"> (SUM(C2:C11)-SUM(B2:B11)) / SUM(B2:B11)</f>
        <v>0.2</v>
      </c>
    </row>
    <row r="18" spans="5:6" ht="21" x14ac:dyDescent="0.35">
      <c r="E18" s="2" t="s">
        <v>20</v>
      </c>
      <c r="F18" s="2">
        <f>SUM(E2:E11)</f>
        <v>88600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showGridLines="0" showRowColHeaders="0" tabSelected="1" workbookViewId="0">
      <selection activeCell="M12" sqref="M12"/>
    </sheetView>
  </sheetViews>
  <sheetFormatPr defaultRowHeight="15" x14ac:dyDescent="0.25"/>
  <sheetData>
    <row r="1" spans="1:11" ht="21" x14ac:dyDescent="0.3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</sheetData>
  <mergeCells count="1">
    <mergeCell ref="A1:K1"/>
  </mergeCells>
  <pageMargins left="0.7" right="0.7" top="0.75" bottom="0.75" header="0.3" footer="0.3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2026-04-05T07:29:34Z</dcterms:modified>
</cp:coreProperties>
</file>